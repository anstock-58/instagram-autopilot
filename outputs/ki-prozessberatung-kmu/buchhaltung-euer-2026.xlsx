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innahmen" state="visible" r:id="rId4"/>
    <sheet sheetId="2" name="Ausgaben" state="visible" r:id="rId5"/>
    <sheet sheetId="3" name="Übersicht" state="visible" r:id="rId6"/>
  </sheets>
  <calcPr calcId="171027"/>
</workbook>
</file>

<file path=xl/sharedStrings.xml><?xml version="1.0" encoding="utf-8"?>
<sst xmlns="http://schemas.openxmlformats.org/spreadsheetml/2006/main" count="40" uniqueCount="32">
  <si>
    <t>Datum</t>
  </si>
  <si>
    <t>Rechnungsnummer</t>
  </si>
  <si>
    <t>Kunde</t>
  </si>
  <si>
    <t>Beschreibung</t>
  </si>
  <si>
    <t>Kategorie</t>
  </si>
  <si>
    <t>Betrag</t>
  </si>
  <si>
    <t>Beispielzeile unten, bitte vor echten Einträgen löschen oder überschreiben. Zeilen darunter zum laufenden Eintragen, Summe passt sich automatisch an.</t>
  </si>
  <si>
    <t>2026-01-001</t>
  </si>
  <si>
    <t>Beispiel Kunde GmbH</t>
  </si>
  <si>
    <t>Lebensreport (persönliche Analyse)</t>
  </si>
  <si>
    <t>Sonstiges</t>
  </si>
  <si>
    <t>Gesamt</t>
  </si>
  <si>
    <t>Beleg-Nr</t>
  </si>
  <si>
    <t>B-2026-001</t>
  </si>
  <si>
    <t>Amazon Ads Kampagne "Das Seil loslassen"</t>
  </si>
  <si>
    <t>Werbekosten/Marketing</t>
  </si>
  <si>
    <t>Vorbereitung für die Steuererklärung, ersetzt keine Steuerberatung. Werte in den Blättern "Einnahmen" und "Ausgaben" eintragen, dann von Andreas selbst oder einem Steuerberater in ELSTER (Anlage EÜR) übertragen.</t>
  </si>
  <si>
    <t>Einnahmen nach Kategorie</t>
  </si>
  <si>
    <t>KDP Bücher</t>
  </si>
  <si>
    <t>ALFIMA Kurse</t>
  </si>
  <si>
    <t>KI-Prozessberatung</t>
  </si>
  <si>
    <t>Song-Geschenke/Hymnenschmiede</t>
  </si>
  <si>
    <t>Gesamteinnahmen</t>
  </si>
  <si>
    <t>Ausgaben nach Kategorie</t>
  </si>
  <si>
    <t>Software und Tool-Abos</t>
  </si>
  <si>
    <t>Fortbildung</t>
  </si>
  <si>
    <t>Bürobedarf</t>
  </si>
  <si>
    <t>Telekommunikation/Internet</t>
  </si>
  <si>
    <t>Reisekosten</t>
  </si>
  <si>
    <t>Sonstige Betriebsausgaben</t>
  </si>
  <si>
    <t>Gesamtausgaben</t>
  </si>
  <si>
    <t>Vorläufiger Gewinn (Einnahmen minus Ausgaben)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</si>
</sst>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#,##0.00 €"/>
  </numFmts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i/>
      <color rgb="FF777777"/>
      <sz val="9"/>
      <name val="Arial"/>
    </font>
    <font>
      <i/>
      <color rgb="FF9C7A2E"/>
      <sz val="10"/>
      <name val="Arial"/>
    </font>
    <font>
      <b/>
      <name val="Arial"/>
    </font>
    <font>
      <b/>
      <sz val="12"/>
      <name val="Arial"/>
    </font>
    <font>
      <name val="Arial"/>
    </font>
    <font>
      <b/>
      <color rgb="FF1F3B4D"/>
      <sz val="1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E9E4D8"/>
      </patternFill>
    </fill>
    <fill>
      <patternFill patternType="solid">
        <fgColor rgb="FFE2C06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wrapText="1"/>
    </xf>
    <xf numFmtId="164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3" borderId="1" xfId="0" applyFill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2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4" fillId="3" borderId="0" xfId="0" applyFont="1" applyFill="1"/>
    <xf numFmtId="165" fontId="4" fillId="3" borderId="0" xfId="0" applyNumberFormat="1" applyFont="1" applyFill="1"/>
    <xf numFmtId="0" fontId="7" fillId="4" borderId="0" xfId="0" applyFont="1" applyFill="1"/>
    <xf numFmtId="165" fontId="7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4" customWidth="1"/>
    <col min="2" max="2" width="18" customWidth="1"/>
    <col min="3" max="3" width="26" customWidth="1"/>
    <col min="4" max="4" width="36" customWidth="1"/>
    <col min="5" max="5" width="26" customWidth="1"/>
    <col min="6" max="6" width="14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 x14ac:dyDescent="0.25">
      <c r="A2" s="2" t="s">
        <v>6</v>
      </c>
      <c r="B2" s="2"/>
      <c r="C2" s="2"/>
      <c r="D2" s="2"/>
      <c r="E2" s="2"/>
      <c r="F2" s="2"/>
    </row>
    <row r="3" spans="1:6" x14ac:dyDescent="0.25">
      <c r="A3" s="3">
        <v>46036.95833333333</v>
      </c>
      <c r="B3" s="4" t="s">
        <v>7</v>
      </c>
      <c r="C3" s="4" t="s">
        <v>8</v>
      </c>
      <c r="D3" s="4" t="s">
        <v>9</v>
      </c>
      <c r="E3" s="4" t="s">
        <v>10</v>
      </c>
      <c r="F3" s="5">
        <v>27</v>
      </c>
    </row>
    <row r="4" spans="1:6" x14ac:dyDescent="0.25">
      <c r="A4" s="6"/>
      <c r="B4" s="7"/>
      <c r="C4" s="7"/>
      <c r="D4" s="7"/>
      <c r="E4" s="7"/>
      <c r="F4" s="8"/>
    </row>
    <row r="5" spans="1:6" x14ac:dyDescent="0.25">
      <c r="A5" s="6"/>
      <c r="B5" s="7"/>
      <c r="C5" s="7"/>
      <c r="D5" s="7"/>
      <c r="E5" s="7"/>
      <c r="F5" s="8"/>
    </row>
    <row r="6" spans="1:6" x14ac:dyDescent="0.25">
      <c r="A6" s="6"/>
      <c r="B6" s="7"/>
      <c r="C6" s="7"/>
      <c r="D6" s="7"/>
      <c r="E6" s="7"/>
      <c r="F6" s="8"/>
    </row>
    <row r="7" spans="1:6" x14ac:dyDescent="0.25">
      <c r="A7" s="6"/>
      <c r="B7" s="7"/>
      <c r="C7" s="7"/>
      <c r="D7" s="7"/>
      <c r="E7" s="7"/>
      <c r="F7" s="8"/>
    </row>
    <row r="8" spans="1:6" x14ac:dyDescent="0.25">
      <c r="A8" s="6"/>
      <c r="B8" s="7"/>
      <c r="C8" s="7"/>
      <c r="D8" s="7"/>
      <c r="E8" s="7"/>
      <c r="F8" s="8"/>
    </row>
    <row r="9" spans="1:6" x14ac:dyDescent="0.25">
      <c r="A9" s="6"/>
      <c r="B9" s="7"/>
      <c r="C9" s="7"/>
      <c r="D9" s="7"/>
      <c r="E9" s="7"/>
      <c r="F9" s="8"/>
    </row>
    <row r="10" spans="1:6" x14ac:dyDescent="0.25">
      <c r="A10" s="6"/>
      <c r="B10" s="7"/>
      <c r="C10" s="7"/>
      <c r="D10" s="7"/>
      <c r="E10" s="7"/>
      <c r="F10" s="8"/>
    </row>
    <row r="11" spans="1:6" x14ac:dyDescent="0.25">
      <c r="A11" s="6"/>
      <c r="B11" s="7"/>
      <c r="C11" s="7"/>
      <c r="D11" s="7"/>
      <c r="E11" s="7"/>
      <c r="F11" s="8"/>
    </row>
    <row r="12" spans="1:6" x14ac:dyDescent="0.25">
      <c r="A12" s="6"/>
      <c r="B12" s="7"/>
      <c r="C12" s="7"/>
      <c r="D12" s="7"/>
      <c r="E12" s="7"/>
      <c r="F12" s="8"/>
    </row>
    <row r="13" spans="1:6" x14ac:dyDescent="0.25">
      <c r="A13" s="6"/>
      <c r="B13" s="7"/>
      <c r="C13" s="7"/>
      <c r="D13" s="7"/>
      <c r="E13" s="7"/>
      <c r="F13" s="8"/>
    </row>
    <row r="14" spans="1:6" x14ac:dyDescent="0.25">
      <c r="A14" s="6"/>
      <c r="B14" s="7"/>
      <c r="C14" s="7"/>
      <c r="D14" s="7"/>
      <c r="E14" s="7"/>
      <c r="F14" s="8"/>
    </row>
    <row r="15" spans="1:6" x14ac:dyDescent="0.25">
      <c r="A15" s="6"/>
      <c r="B15" s="7"/>
      <c r="C15" s="7"/>
      <c r="D15" s="7"/>
      <c r="E15" s="7"/>
      <c r="F15" s="8"/>
    </row>
    <row r="16" spans="1:6" x14ac:dyDescent="0.25">
      <c r="A16" s="6"/>
      <c r="B16" s="7"/>
      <c r="C16" s="7"/>
      <c r="D16" s="7"/>
      <c r="E16" s="7"/>
      <c r="F16" s="8"/>
    </row>
    <row r="17" spans="1:6" x14ac:dyDescent="0.25">
      <c r="A17" s="6"/>
      <c r="B17" s="7"/>
      <c r="C17" s="7"/>
      <c r="D17" s="7"/>
      <c r="E17" s="7"/>
      <c r="F17" s="8"/>
    </row>
    <row r="18" spans="1:6" x14ac:dyDescent="0.25">
      <c r="A18" s="9"/>
      <c r="B18" s="9"/>
      <c r="C18" s="9"/>
      <c r="D18" s="10" t="s">
        <v>11</v>
      </c>
      <c r="E18" s="9"/>
      <c r="F18" s="11">
        <f>SUM(F4:F17)</f>
        <v>0</v>
      </c>
    </row>
  </sheetData>
  <mergeCells count="1">
    <mergeCell ref="A2:F2"/>
  </mergeCells>
  <dataValidations count="2">
    <dataValidation type="list" allowBlank="1" sqref="E10:E17">
      <formula1>"KDP Bücher,ALFIMA Kurse,KI-Prozessberatung,Song-Geschenke/Hymnenschmiede,Sonstiges"</formula1>
    </dataValidation>
    <dataValidation type="list" allowBlank="1" sqref="E4:E17">
      <formula1>"KDP Bücher,ALFIMA Kurse,KI-Prozessberatung,Song-Geschenke/Hymnenschmiede,Sonstiges"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4" customWidth="1"/>
    <col min="2" max="2" width="16" customWidth="1"/>
    <col min="3" max="3" width="36" customWidth="1"/>
    <col min="4" max="4" width="26" customWidth="1"/>
    <col min="5" max="5" width="14" customWidth="1"/>
  </cols>
  <sheetData>
    <row r="1" ht="20" customHeight="1" spans="1:5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</row>
    <row r="2" ht="26" customHeight="1" spans="1:5" x14ac:dyDescent="0.25">
      <c r="A2" s="2" t="s">
        <v>6</v>
      </c>
      <c r="B2" s="2"/>
      <c r="C2" s="2"/>
      <c r="D2" s="2"/>
      <c r="E2" s="2"/>
    </row>
    <row r="3" spans="1:5" x14ac:dyDescent="0.25">
      <c r="A3" s="3">
        <v>46041.95833333333</v>
      </c>
      <c r="B3" s="4" t="s">
        <v>13</v>
      </c>
      <c r="C3" s="4" t="s">
        <v>14</v>
      </c>
      <c r="D3" s="4" t="s">
        <v>15</v>
      </c>
      <c r="E3" s="5">
        <v>31.5</v>
      </c>
    </row>
    <row r="4" spans="1:5" x14ac:dyDescent="0.25">
      <c r="A4" s="6"/>
      <c r="B4" s="7"/>
      <c r="C4" s="7"/>
      <c r="D4" s="7"/>
      <c r="E4" s="8"/>
    </row>
    <row r="5" spans="1:5" x14ac:dyDescent="0.25">
      <c r="A5" s="6"/>
      <c r="B5" s="7"/>
      <c r="C5" s="7"/>
      <c r="D5" s="7"/>
      <c r="E5" s="8"/>
    </row>
    <row r="6" spans="1:5" x14ac:dyDescent="0.25">
      <c r="A6" s="6"/>
      <c r="B6" s="7"/>
      <c r="C6" s="7"/>
      <c r="D6" s="7"/>
      <c r="E6" s="8"/>
    </row>
    <row r="7" spans="1:5" x14ac:dyDescent="0.25">
      <c r="A7" s="6"/>
      <c r="B7" s="7"/>
      <c r="C7" s="7"/>
      <c r="D7" s="7"/>
      <c r="E7" s="8"/>
    </row>
    <row r="8" spans="1:5" x14ac:dyDescent="0.25">
      <c r="A8" s="6"/>
      <c r="B8" s="7"/>
      <c r="C8" s="7"/>
      <c r="D8" s="7"/>
      <c r="E8" s="8"/>
    </row>
    <row r="9" spans="1:5" x14ac:dyDescent="0.25">
      <c r="A9" s="6"/>
      <c r="B9" s="7"/>
      <c r="C9" s="7"/>
      <c r="D9" s="7"/>
      <c r="E9" s="8"/>
    </row>
    <row r="10" spans="1:5" x14ac:dyDescent="0.25">
      <c r="A10" s="6"/>
      <c r="B10" s="7"/>
      <c r="C10" s="7"/>
      <c r="D10" s="7"/>
      <c r="E10" s="8"/>
    </row>
    <row r="11" spans="1:5" x14ac:dyDescent="0.25">
      <c r="A11" s="6"/>
      <c r="B11" s="7"/>
      <c r="C11" s="7"/>
      <c r="D11" s="7"/>
      <c r="E11" s="8"/>
    </row>
    <row r="12" spans="1:5" x14ac:dyDescent="0.25">
      <c r="A12" s="6"/>
      <c r="B12" s="7"/>
      <c r="C12" s="7"/>
      <c r="D12" s="7"/>
      <c r="E12" s="8"/>
    </row>
    <row r="13" spans="1:5" x14ac:dyDescent="0.25">
      <c r="A13" s="6"/>
      <c r="B13" s="7"/>
      <c r="C13" s="7"/>
      <c r="D13" s="7"/>
      <c r="E13" s="8"/>
    </row>
    <row r="14" spans="1:5" x14ac:dyDescent="0.25">
      <c r="A14" s="6"/>
      <c r="B14" s="7"/>
      <c r="C14" s="7"/>
      <c r="D14" s="7"/>
      <c r="E14" s="8"/>
    </row>
    <row r="15" spans="1:5" x14ac:dyDescent="0.25">
      <c r="A15" s="6"/>
      <c r="B15" s="7"/>
      <c r="C15" s="7"/>
      <c r="D15" s="7"/>
      <c r="E15" s="8"/>
    </row>
    <row r="16" spans="1:5" x14ac:dyDescent="0.25">
      <c r="A16" s="6"/>
      <c r="B16" s="7"/>
      <c r="C16" s="7"/>
      <c r="D16" s="7"/>
      <c r="E16" s="8"/>
    </row>
    <row r="17" spans="1:5" x14ac:dyDescent="0.25">
      <c r="A17" s="6"/>
      <c r="B17" s="7"/>
      <c r="C17" s="7"/>
      <c r="D17" s="7"/>
      <c r="E17" s="8"/>
    </row>
    <row r="18" spans="1:5" x14ac:dyDescent="0.25">
      <c r="A18" s="9"/>
      <c r="B18" s="9"/>
      <c r="C18" s="10" t="s">
        <v>11</v>
      </c>
      <c r="D18" s="9"/>
      <c r="E18" s="11">
        <f>SUM(E4:E17)</f>
        <v>0</v>
      </c>
    </row>
  </sheetData>
  <mergeCells count="1">
    <mergeCell ref="A2:E2"/>
  </mergeCells>
  <dataValidations count="2">
    <dataValidation type="list" allowBlank="1" sqref="D10:D17">
      <formula1>"Werbekosten/Marketing,Software und Tool-Abos,Fortbildung,Bürobedarf,Telekommunikation/Internet,Reisekosten,Sonstige Betriebsausgaben"</formula1>
    </dataValidation>
    <dataValidation type="list" allowBlank="1" sqref="D4:D17">
      <formula1>"Werbekosten/Marketing,Software und Tool-Abos,Fortbildung,Bürobedarf,Telekommunikation/Internet,Reisekosten,Sonstige Betriebsausgaben"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4" customWidth="1"/>
    <col min="2" max="2" width="18" customWidth="1"/>
  </cols>
  <sheetData>
    <row r="1" ht="40" customHeight="1" spans="1:2" x14ac:dyDescent="0.25">
      <c r="A1" s="12" t="s">
        <v>16</v>
      </c>
      <c r="B1" s="12"/>
    </row>
    <row r="3" spans="1:2" x14ac:dyDescent="0.25">
      <c r="A3" s="13" t="s">
        <v>17</v>
      </c>
      <c r="B3" s="13"/>
    </row>
    <row r="4" spans="1:2" x14ac:dyDescent="0.25">
      <c r="A4" s="14" t="s">
        <v>18</v>
      </c>
      <c r="B4" s="15">
        <f>SUMIFS(Einnahmen!$F:$F,Einnahmen!$E:$E,"KDP Bücher")</f>
        <v>0</v>
      </c>
    </row>
    <row r="5" spans="1:2" x14ac:dyDescent="0.25">
      <c r="A5" s="14" t="s">
        <v>19</v>
      </c>
      <c r="B5" s="15">
        <f>SUMIFS(Einnahmen!$F:$F,Einnahmen!$E:$E,"ALFIMA Kurse")</f>
        <v>0</v>
      </c>
    </row>
    <row r="6" spans="1:2" x14ac:dyDescent="0.25">
      <c r="A6" s="14" t="s">
        <v>20</v>
      </c>
      <c r="B6" s="15">
        <f>SUMIFS(Einnahmen!$F:$F,Einnahmen!$E:$E,"KI-Prozessberatung")</f>
        <v>0</v>
      </c>
    </row>
    <row r="7" spans="1:2" x14ac:dyDescent="0.25">
      <c r="A7" s="14" t="s">
        <v>21</v>
      </c>
      <c r="B7" s="15">
        <f>SUMIFS(Einnahmen!$F:$F,Einnahmen!$E:$E,"Song-Geschenke/Hymnenschmiede")</f>
        <v>0</v>
      </c>
    </row>
    <row r="8" spans="1:2" x14ac:dyDescent="0.25">
      <c r="A8" s="14" t="s">
        <v>10</v>
      </c>
      <c r="B8" s="15">
        <f>SUMIFS(Einnahmen!$F:$F,Einnahmen!$E:$E,"Sonstiges")</f>
        <v>0</v>
      </c>
    </row>
    <row r="9" spans="1:2" x14ac:dyDescent="0.25">
      <c r="A9" s="16" t="s">
        <v>22</v>
      </c>
      <c r="B9" s="17">
        <f>SUM(B4:B8)</f>
        <v>0</v>
      </c>
    </row>
    <row r="11" spans="1:2" x14ac:dyDescent="0.25">
      <c r="A11" s="13" t="s">
        <v>23</v>
      </c>
      <c r="B11" s="13"/>
    </row>
    <row r="12" spans="1:2" x14ac:dyDescent="0.25">
      <c r="A12" s="14" t="s">
        <v>15</v>
      </c>
      <c r="B12" s="15">
        <f>SUMIFS(Ausgaben!$E:$E,Ausgaben!$D:$D,"Werbekosten/Marketing")</f>
        <v>0</v>
      </c>
    </row>
    <row r="13" spans="1:2" x14ac:dyDescent="0.25">
      <c r="A13" s="14" t="s">
        <v>24</v>
      </c>
      <c r="B13" s="15">
        <f>SUMIFS(Ausgaben!$E:$E,Ausgaben!$D:$D,"Software und Tool-Abos")</f>
        <v>0</v>
      </c>
    </row>
    <row r="14" spans="1:2" x14ac:dyDescent="0.25">
      <c r="A14" s="14" t="s">
        <v>25</v>
      </c>
      <c r="B14" s="15">
        <f>SUMIFS(Ausgaben!$E:$E,Ausgaben!$D:$D,"Fortbildung")</f>
        <v>0</v>
      </c>
    </row>
    <row r="15" spans="1:2" x14ac:dyDescent="0.25">
      <c r="A15" s="14" t="s">
        <v>26</v>
      </c>
      <c r="B15" s="15">
        <f>SUMIFS(Ausgaben!$E:$E,Ausgaben!$D:$D,"Bürobedarf")</f>
        <v>0</v>
      </c>
    </row>
    <row r="16" spans="1:2" x14ac:dyDescent="0.25">
      <c r="A16" s="14" t="s">
        <v>27</v>
      </c>
      <c r="B16" s="15">
        <f>SUMIFS(Ausgaben!$E:$E,Ausgaben!$D:$D,"Telekommunikation/Internet")</f>
        <v>0</v>
      </c>
    </row>
    <row r="17" spans="1:2" x14ac:dyDescent="0.25">
      <c r="A17" s="14" t="s">
        <v>28</v>
      </c>
      <c r="B17" s="15">
        <f>SUMIFS(Ausgaben!$E:$E,Ausgaben!$D:$D,"Reisekosten")</f>
        <v>0</v>
      </c>
    </row>
    <row r="18" spans="1:2" x14ac:dyDescent="0.25">
      <c r="A18" s="14" t="s">
        <v>29</v>
      </c>
      <c r="B18" s="15">
        <f>SUMIFS(Ausgaben!$E:$E,Ausgaben!$D:$D,"Sonstige Betriebsausgaben")</f>
        <v>0</v>
      </c>
    </row>
    <row r="19" spans="1:2" x14ac:dyDescent="0.25">
      <c r="A19" s="16" t="s">
        <v>30</v>
      </c>
      <c r="B19" s="17">
        <f>SUM(B12:B18)</f>
        <v>0</v>
      </c>
    </row>
    <row r="21" ht="22" customHeight="1" spans="1:2" x14ac:dyDescent="0.25">
      <c r="A21" s="18" t="s">
        <v>31</v>
      </c>
      <c r="B21" s="19">
        <f>B9-B19</f>
        <v>0</v>
      </c>
    </row>
  </sheetData>
  <mergeCells count="3">
    <mergeCell ref="A1:B1"/>
    <mergeCell ref="A3:B3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Einnahmen</vt:lpstr>
      <vt:lpstr>Ausgaben</vt:lpstr>
      <vt:lpstr>Übersicht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Stock</dc:creator>
  <dc:title/>
  <dc:subject/>
  <dc:description/>
  <cp:keywords/>
  <cp:category/>
  <cp:lastModifiedBy>Unknown</cp:lastModifiedBy>
  <dcterms:created xsi:type="dcterms:W3CDTF">2026-07-28T16:47:43Z</dcterms:created>
  <dcterms:modified xsi:type="dcterms:W3CDTF">2026-07-28T16:47:43Z</dcterms:modified>
</cp:coreProperties>
</file>